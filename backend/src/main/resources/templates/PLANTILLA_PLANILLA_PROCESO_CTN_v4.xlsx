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YENDA_PARA_DESARROLLO" sheetId="1" state="visible" r:id="rId3"/>
    <sheet name="PLANTILLA_ETAPA_1" sheetId="2" state="visible" r:id="rId4"/>
    <sheet name="PLANTILLA_ETAPA_2"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<sst xmlns="http://schemas.openxmlformats.org/spreadsheetml/2006/main" count="153" uniqueCount="112">
  <si>
    <t xml:space="preserve">PLANTILLA — PLANILLA DE PROCESO (CTN) — v3</t>
  </si>
  <si>
    <t xml:space="preserve">Esta hoja es solo documentación. No se exporta.</t>
  </si>
  <si>
    <t xml:space="preserve">Hojas de datos:</t>
  </si>
  <si>
    <t xml:space="preserve">PLANTILLA_ETAPA_1 y PLANTILLA_ETAPA_2 (una por etapa, con forma distinta cada una).</t>
  </si>
  <si>
    <t xml:space="preserve">— ESTRUCTURA COMÚN A AMBAS ETAPAS —</t>
  </si>
  <si>
    <t xml:space="preserve">Fila de encabezado de mes</t>
  </si>
  <si>
    <t xml:space="preserve">Fila 6</t>
  </si>
  <si>
    <t xml:space="preserve">Fila de título de instrumento (tarea)</t>
  </si>
  <si>
    <t xml:space="preserve">Fila 7 (texto rotado 90°, wrapText=true)</t>
  </si>
  <si>
    <t xml:space="preserve">Fila TP (puntaje máximo por instrumento)</t>
  </si>
  <si>
    <t xml:space="preserve">Fila 8</t>
  </si>
  <si>
    <t xml:space="preserve">Primera fila de alumno</t>
  </si>
  <si>
    <t xml:space="preserve">Fila 9 (agregar/quitar filas debajo)</t>
  </si>
  <si>
    <t xml:space="preserve">Bloque de mes en la plantilla</t>
  </si>
  <si>
    <t xml:space="preserve">1 solo bloque de EJEMPLO (8 columnas de tarea + 1 Subtotal = 9 columnas). El código debe clonarlo dinámicamente una vez por cada mes real con tareas, ajustando la cantidad de columnas de tarea (máx. observado 12) — no hay una cantidad fija de bloques de mes en la plantilla.</t>
  </si>
  <si>
    <t xml:space="preserve">— ETAPA 1 (hoja PLANTILLA_ETAPA_1) — SIN columna fija antes de los meses —</t>
  </si>
  <si>
    <t xml:space="preserve">Columna N°</t>
  </si>
  <si>
    <t xml:space="preserve">A</t>
  </si>
  <si>
    <t xml:space="preserve">Columna Apellidos y Nombres</t>
  </si>
  <si>
    <t xml:space="preserve">B</t>
  </si>
  <si>
    <t xml:space="preserve">Primer mes (bloque de ejemplo)</t>
  </si>
  <si>
    <t xml:space="preserve">Columna C:K (C:J = 8 tareas, K = Subtotal)</t>
  </si>
  <si>
    <t xml:space="preserve">Columna Total General</t>
  </si>
  <si>
    <t xml:space="preserve">Columna L (después del último bloque de mes real)</t>
  </si>
  <si>
    <t xml:space="preserve">Columna Calificación Final 1ª Etapa</t>
  </si>
  <si>
    <t xml:space="preserve">Columna M (después de Total General)</t>
  </si>
  <si>
    <t xml:space="preserve">Freeze panes</t>
  </si>
  <si>
    <t xml:space="preserve">2 columnas fijas (A:B) + fila TP → sheet.createFreezePane(2, 8) → celda C9</t>
  </si>
  <si>
    <t xml:space="preserve">— ETAPA 2 (hoja PLANTILLA_ETAPA_2) — SÍ tiene una columna fija antes de los meses —</t>
  </si>
  <si>
    <t xml:space="preserve">Columna Calificación Final 1ª Etapa (heredada)</t>
  </si>
  <si>
    <t xml:space="preserve">Columna C — antes del primer mes, NO después</t>
  </si>
  <si>
    <t xml:space="preserve">Columna D:L (D:K = 8 tareas, L = Subtotal)</t>
  </si>
  <si>
    <t xml:space="preserve">Columna M (después del último bloque de mes real)</t>
  </si>
  <si>
    <t xml:space="preserve">Columna Calificación Final 2ª Etapa</t>
  </si>
  <si>
    <t xml:space="preserve">Columna N</t>
  </si>
  <si>
    <t xml:space="preserve">Columna Sumatoria 1° y 2° Etapa</t>
  </si>
  <si>
    <t xml:space="preserve">Columna O</t>
  </si>
  <si>
    <t xml:space="preserve">Columna Calificación Final (promedio)</t>
  </si>
  <si>
    <t xml:space="preserve">Columna P</t>
  </si>
  <si>
    <t xml:space="preserve">Columna Período Complementario</t>
  </si>
  <si>
    <t xml:space="preserve">Columna Q (sin dato de origen aún — opcional, carga manual)</t>
  </si>
  <si>
    <t xml:space="preserve">Columna Período Regularización</t>
  </si>
  <si>
    <t xml:space="preserve">Columna R (sin dato de origen aún — opcional, carga manual)</t>
  </si>
  <si>
    <t xml:space="preserve">3 columnas fijas (A:C, incluye Calificación Final 1ª Etapa) + fila TP → sheet.createFreezePane(3, 8) → celda D9 — DISTINTO de Etapa 1, no usar el mismo valor fijo para ambas hojas</t>
  </si>
  <si>
    <t xml:space="preserve">— IMPORTANTE: applyNavigationAndVisualDesign debe recibir la etapa —</t>
  </si>
  <si>
    <t xml:space="preserve">createFreezePane hardcodeado en columna 2</t>
  </si>
  <si>
    <t xml:space="preserve">BUG: el método de referencia congela siempre en la columna 2 (createFreezePane(2, TP_ROW)); para ETAPA_2 tiene que ser columna 3. Pasar un parámetro firstMonthCol (o directamente resolverlo desde monthBlocks.get(0).startCol) en vez de asumir 2 fijo.</t>
  </si>
  <si>
    <t xml:space="preserve">lastCol / piso fijo en columna AC</t>
  </si>
  <si>
    <t xml:space="preserve">BUG: el cálculo de lastCol para zebra striping y posición del logo (Math.max(..., columnIndexFromLetter("AC"))) asume un piso fijo pensado para la plantilla ancha vieja (columnas de 13 caracteres). Con las columnas angostas nuevas (6.5/7.5 caracteres) ese piso ya no tiene sentido, y además no suma las columnas fijas de cola específicas de cada etapa (2 en Etapa 1, 6 en Etapa 2). lastCol debe calcularse como: último subtotalCol de mes + cantidad de columnas fijas de cola de esa etapa (trailingCols), sin piso fijo en "AC".</t>
  </si>
  <si>
    <t xml:space="preserve">— MARCADORES {{...}} A REEMPLAZAR POR EL PROGRAMA —</t>
  </si>
  <si>
    <t xml:space="preserve">{{DISCIPLINA}}</t>
  </si>
  <si>
    <t xml:space="preserve">materia.getNombre() (o el nombre de la disciplina)</t>
  </si>
  <si>
    <t xml:space="preserve">{{ESPECIALIDAD}}</t>
  </si>
  <si>
    <t xml:space="preserve">curso.getEspecialidad()</t>
  </si>
  <si>
    <t xml:space="preserve">{{PROFESOR}}</t>
  </si>
  <si>
    <t xml:space="preserve">user.getFullName()</t>
  </si>
  <si>
    <t xml:space="preserve">{{CURSO}} / {{TURNO}} / {{SECCION}}</t>
  </si>
  <si>
    <t xml:space="preserve">curso.getCursoOrdinal() / turno / curso.getSeccion()</t>
  </si>
  <si>
    <t xml:space="preserve">{{ANIO}}</t>
  </si>
  <si>
    <t xml:space="preserve">AcademicPeriod.current() o el año de la planilla</t>
  </si>
  <si>
    <t xml:space="preserve">{{MES_n_NOMBRE}}</t>
  </si>
  <si>
    <t xml:space="preserve">Nombre del mes, agrupando las Tarea por Tarea.getFecha().getMonth()</t>
  </si>
  <si>
    <t xml:space="preserve">{{MES_n_INSTR_j}}</t>
  </si>
  <si>
    <t xml:space="preserve">Tarea.getTitulo() de la j-ésima tarea de ese mes</t>
  </si>
  <si>
    <t xml:space="preserve">{{ALUMNO_NOMBRE}}</t>
  </si>
  <si>
    <t xml:space="preserve">StudentRow.getAlumnoNombre()</t>
  </si>
  <si>
    <t xml:space="preserve">— REGLAS DE FÓRMULA / CÁLCULO —</t>
  </si>
  <si>
    <t xml:space="preserve">Subtotal de mes</t>
  </si>
  <si>
    <t xml:space="preserve">SUMA de las columnas de instrumento de ese mes — el código debe generar la fórmula SUM al clonar cada bloque de mes real (la plantilla solo trae el bloque de EJEMPLO como referencia visual, no una fórmula reutilizable tal cual, porque el rango de columnas cambia por mes).</t>
  </si>
  <si>
    <t xml:space="preserve">Total General</t>
  </si>
  <si>
    <t xml:space="preserve">SUMA de todos los Subtotales de mes reales (el ejemplo de la plantilla suma solo el único bloque de ejemplo — replicar el patrón sumando todos los Subtotal reales).</t>
  </si>
  <si>
    <t xml:space="preserve">Calificación Final (1ª, 2ª y final promedio)</t>
  </si>
  <si>
    <t xml:space="preserve">NO se replica la fórmula de Excel: el valor final se escribe como número literal desde Java usando Planilla.getNotaForSum(), que ya implementa la misma lógica de umbrales que usa la planilla oficial en papel. Evita duplicar la regla en dos lugares. ADVERTENCIA: la fórmula de ejemplo IF(...) en la columna Calificación Final de ETAPA_2 es solo referencia visual de qué umbral replica Planilla.getNotaForSum() en Java — no debe quedar como fórmula viva en la planilla exportada; confirmar que el builder la sobreescribe siempre con el valor literal.</t>
  </si>
  <si>
    <t xml:space="preserve">Calificación Final 1ª Etapa (columna C de ETAPA_2)</t>
  </si>
  <si>
    <t xml:space="preserve">En la plantilla de referencia se muestra como fórmula cruzada ='PLANTILLA_ETAPA_1'!&lt;col&gt;&lt;fila&gt; a modo de documentación de la relación entre ambas hojas. En producción, confirmar si conviene mantenerla como fórmula real (solo tiene sentido si el export siempre incluye ambas hojas en el mismo archivo) o si el valor se escribe literal desde la base de datos, igual que la Calificación Final — a decidir según cómo se arma el export real.</t>
  </si>
  <si>
    <t xml:space="preserve">Fila TP</t>
  </si>
  <si>
    <t xml:space="preserve">Puntaje máximo de cada instrumento = Tarea.getTotal(); no es una fila de alumno.</t>
  </si>
  <si>
    <t xml:space="preserve">— LÍMITE DE INSTRUMENTOS POR MES —</t>
  </si>
  <si>
    <t xml:space="preserve">La plantilla reserva 8 columnas en el bloque de ejemplo (el máximo observado en los datos reales fue 5, pero materias como Algoritmia usan hasta 12 en meses con exámenes/créditos). Si un mes real tiene más columnas de tarea que las del bloque de ejemplo, el código debe insertar columnas adicionales clonando el estilo de una columna vecina del bloque, no limitarse a las 8 del ejemplo.</t>
  </si>
  <si>
    <t xml:space="preserve">— NAVEGACIÓN Y ORDEN VISUAL (aplicado en tiempo de generación, no en la plantilla) —</t>
  </si>
  <si>
    <t xml:space="preserve">Paneles fijos, agrupación de columnas por mes, borde de bloque, relleno de Subtotal, zebra striping y logos NO vienen pre-aplicados en esta plantilla salvo el bloque de ejemplo (que sí trae agrupación + ancho angosto para mostrar el patrón). Se aplican una sola vez sobre la planilla ya construida, con applyNavigationAndVisualDesign(sheet, monthBlocks, lastStudentRow) — ver notas en columna lejana de cada hoja de datos para las diferencias específicas por etapa.</t>
  </si>
  <si>
    <t xml:space="preserve">COLEGIO TÉCNICO NACIONAL DE ASUNCIÓN</t>
  </si>
  <si>
    <t xml:space="preserve">NOTA PARA EL AGENTE (ETAPA 1): el bloque de mes (columnas C:K) es el patron a clonar por cada mes real, igual criterio que en PLANTILLA_ETAPA_2. Esta hoja NO tiene columna fija antes de los meses (el primer mes arranca justo despues de Apellidos y Nombres), por eso el freeze pane cubre solo 2 columnas fijas (A:B), no 3 como en ETAPA_2. Las columnas fijas DESPUES del ultimo mes son distintas de ETAPA_2: aqui solo hay Total General y Calificacion Final 1a Etapa (2 columnas), mientras que ETAPA_2 tiene 6. El lastCol para zebra striping / logo debe calcularse por separado para cada hoja, sumando estas columnas fijas especificas de cada etapa - un unico valor compartido (como el piso fijo en columna AC del metodo original) no sirve para ambas. Esta nota es solo de referencia, no debe copiarse a la plantilla real.</t>
  </si>
  <si>
    <t xml:space="preserve">Servicio de Evaluación</t>
  </si>
  <si>
    <t xml:space="preserve">PLANILLA DE PROCESO - 1º ETAPA</t>
  </si>
  <si>
    <t xml:space="preserve">Disciplina: {{DISCIPLINA}}</t>
  </si>
  <si>
    <t xml:space="preserve">Especialidad: {{ESPECIALIDAD}}</t>
  </si>
  <si>
    <t xml:space="preserve">Profesor/a: {{PROFESOR}}</t>
  </si>
  <si>
    <t xml:space="preserve">Curso: {{CURSO}}°   Turno: {{TURNO}}   Sección: "{{SECCION}}"</t>
  </si>
  <si>
    <t xml:space="preserve">Año: {{ANIO}}</t>
  </si>
  <si>
    <t xml:space="preserve">N°</t>
  </si>
  <si>
    <t xml:space="preserve">Apellidos y Nombres</t>
  </si>
  <si>
    <t xml:space="preserve">{{MES_1_NOMBRE}}</t>
  </si>
  <si>
    <t xml:space="preserve">Subtotal</t>
  </si>
  <si>
    <t xml:space="preserve">Calificación Final 1º Etapa</t>
  </si>
  <si>
    <t xml:space="preserve">{{MES_1_INSTR_1}}</t>
  </si>
  <si>
    <t xml:space="preserve">{{MES_1_INSTR_2}}</t>
  </si>
  <si>
    <t xml:space="preserve">{{MES_1_INSTR_3}}</t>
  </si>
  <si>
    <t xml:space="preserve">{{MES_1_INSTR_4}}</t>
  </si>
  <si>
    <t xml:space="preserve">{{MES_1_INSTR_5}}</t>
  </si>
  <si>
    <t xml:space="preserve">{{MES_1_INSTR_6}}</t>
  </si>
  <si>
    <t xml:space="preserve">{{MES_1_INSTR_7}}</t>
  </si>
  <si>
    <t xml:space="preserve">{{MES_1_INSTR_8}}</t>
  </si>
  <si>
    <t xml:space="preserve">TP</t>
  </si>
  <si>
    <t xml:space="preserve">(puntaje máximo)</t>
  </si>
  <si>
    <t xml:space="preserve">NOTA PARA EL AGENTE (ETAPA 2): el bloque de mes (columnas D:L) es el patron a clonar por cada mes real - repetir estructura, estilos, agrupacion y borde de bloque, ajustando la cantidad de columnas de tarea. A diferencia de PLANTILLA_ETAPA_1, esta hoja tiene una columna fija ANTES de los meses (C = Calificacion Final 1a Etapa), por lo que el primer mes real arranca en la columna D, no en C, y el freeze pane debe cubrir 3 columnas fijas (A:C) en vez de 2. Ademas tiene columnas fijas DESPUES del ultimo mes que ETAPA_1 no tiene: Total General, Calificacion Final 2a Etapa, Sumatoria 1 y 2 Etapa, Calificacion Final, Periodo Complementario y Periodo Regularizacion. El calculo de lastCol para zebra striping / logo debe sumar estas columnas fijas ademas del ultimo bloque de mes, no solo tomar el maximo entre bloques de mes y una columna piso fija tipo AC. Esta nota es solo de referencia, no debe copiarse a la plantilla real.</t>
  </si>
  <si>
    <t xml:space="preserve">PLANILLA DE PROCESO - 2º ETAPA</t>
  </si>
  <si>
    <t xml:space="preserve">Calificación Final 2º Etapa</t>
  </si>
  <si>
    <t xml:space="preserve">Sumatoria 1° y 2° Etapa</t>
  </si>
  <si>
    <t xml:space="preserve">Calificación Final</t>
  </si>
  <si>
    <t xml:space="preserve">Período Complementario</t>
  </si>
  <si>
    <t xml:space="preserve">Período Regularización</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</si>
</sst>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b val="true"/>
      <sz val="13"/>
      <name val="Calibri"/>
      <family val="0"/>
      <charset val="1"/>
    </font>
    <font>
      <sz val="9"/>
      <name val="Calibri"/>
      <family val="0"/>
      <charset val="1"/>
    </font>
    <font>
      <sz val="11"/>
      <name val="Calibri"/>
      <family val="0"/>
      <charset val="1"/>
    </font>
    <font>
      <b val="true"/>
      <sz val="11"/>
      <name val="Calibri"/>
      <family val="0"/>
      <charset val="1"/>
    </font>
    <font>
      <sz val="10"/>
      <name val="Calibri"/>
      <family val="0"/>
      <charset val="1"/>
    </font>
    <font>
      <sz val="8"/>
      <name val="Calibri"/>
      <family val="0"/>
      <charset val="1"/>
    </font>
  </fonts>
  <fills count="5">
    <fill>
      <patternFill patternType="none"/>
    </fill>
    <fill>
      <patternFill patternType="gray125"/>
    </fill>
    <fill>
      <patternFill patternType="solid">
        <fgColor rgb="FFE4DFEC"/>
        <bgColor rgb="FFDCE6F1"/>
      </patternFill>
    </fill>
    <fill>
      <patternFill patternType="solid">
        <fgColor rgb="FFDCE6F1"/>
        <bgColor rgb="FFE4DFEC"/>
      </patternFill>
    </fill>
    <fill>
      <patternFill patternType="solid">
        <fgColor rgb="FFF5F5F5"/>
        <bgColor rgb="FFFFFFCC"/>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color rgb="FF808080"/>
      </left>
      <right style="medium"/>
      <top style="medium">
        <color rgb="FF808080"/>
      </top>
      <bottom/>
      <diagonal/>
    </border>
    <border diagonalUp="false" diagonalDown="false">
      <left style="medium"/>
      <right style="medium">
        <color rgb="FF808080"/>
      </right>
      <top style="medium">
        <color rgb="FF808080"/>
      </top>
      <bottom style="thin"/>
      <diagonal/>
    </border>
    <border diagonalUp="false" diagonalDown="false">
      <left style="medium"/>
      <right style="medium">
        <color rgb="FF808080"/>
      </right>
      <top style="medium"/>
      <bottom/>
      <diagonal/>
    </border>
    <border diagonalUp="false" diagonalDown="false">
      <left style="medium">
        <color rgb="FF808080"/>
      </left>
      <right style="thin"/>
      <top style="thin"/>
      <bottom style="thin"/>
      <diagonal/>
    </border>
    <border diagonalUp="false" diagonalDown="false">
      <left style="medium"/>
      <right style="medium"/>
      <top style="medium"/>
      <bottom style="medium"/>
      <diagonal/>
    </border>
    <border diagonalUp="false" diagonalDown="false">
      <left style="medium"/>
      <right style="medium">
        <color rgb="FF808080"/>
      </right>
      <top style="medium"/>
      <bottom style="medium"/>
      <diagonal/>
    </border>
    <border diagonalUp="false" diagonalDown="false">
      <left style="thin"/>
      <right style="thin"/>
      <top style="thin"/>
      <bottom style="thin"/>
      <diagonal/>
    </border>
    <border diagonalUp="false" diagonalDown="false">
      <left style="thin"/>
      <right style="medium">
        <color rgb="FF808080"/>
      </right>
      <top style="thin"/>
      <bottom style="thin"/>
      <diagonal/>
    </border>
    <border diagonalUp="false" diagonalDown="false">
      <left style="medium">
        <color rgb="FF808080"/>
      </left>
      <right style="thin"/>
      <top style="thin"/>
      <bottom style="medium">
        <color rgb="FF808080"/>
      </bottom>
      <diagonal/>
    </border>
    <border diagonalUp="false" diagonalDown="false">
      <left style="thin"/>
      <right style="medium">
        <color rgb="FF808080"/>
      </right>
      <top style="thin"/>
      <bottom style="medium">
        <color rgb="FF808080"/>
      </bottom>
      <diagonal/>
    </border>
    <border diagonalUp="false" diagonalDown="false">
      <left style="medium">
        <color rgb="FF808080"/>
      </left>
      <right/>
      <top style="medium">
        <color rgb="FF808080"/>
      </top>
      <bottom/>
      <diagonal/>
    </border>
    <border diagonalUp="false" diagonalDown="false">
      <left style="medium"/>
      <right style="medium">
        <color rgb="FF808080"/>
      </right>
      <top style="medium">
        <color rgb="FF808080"/>
      </top>
      <bottom/>
      <diagonal/>
    </border>
    <border diagonalUp="false" diagonalDown="false">
      <left style="thin"/>
      <right style="thin"/>
      <top style="thin"/>
      <bottom style="medium">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9" fillId="2" borderId="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center" vertical="center" textRotation="0" wrapText="true" indent="0" shrinkToFit="false"/>
      <protection locked="true" hidden="false"/>
    </xf>
    <xf numFmtId="164" fontId="9" fillId="2" borderId="4"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5" xfId="0" applyFont="true" applyBorder="true" applyAlignment="true" applyProtection="false">
      <alignment horizontal="center" vertical="center" textRotation="90" wrapText="true" indent="0" shrinkToFit="false"/>
      <protection locked="true" hidden="false"/>
    </xf>
    <xf numFmtId="164" fontId="9" fillId="2" borderId="6" xfId="0" applyFont="true" applyBorder="true" applyAlignment="true" applyProtection="false">
      <alignment horizontal="center" vertical="center" textRotation="0" wrapText="false" indent="0" shrinkToFit="false"/>
      <protection locked="true" hidden="false"/>
    </xf>
    <xf numFmtId="164" fontId="11" fillId="2" borderId="6" xfId="0" applyFont="true" applyBorder="true" applyAlignment="true" applyProtection="false">
      <alignment horizontal="general" vertical="bottom" textRotation="0" wrapText="fals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5" fontId="9" fillId="3" borderId="7" xfId="0" applyFont="true" applyBorder="true" applyAlignment="true" applyProtection="false">
      <alignment horizontal="center" vertical="center" textRotation="0" wrapText="false" indent="0" shrinkToFit="false"/>
      <protection locked="true" hidden="false"/>
    </xf>
    <xf numFmtId="164" fontId="8" fillId="0" borderId="8" xfId="0" applyFont="true" applyBorder="true" applyAlignment="true" applyProtection="false">
      <alignment horizontal="center" vertical="center" textRotation="0" wrapText="false" indent="0" shrinkToFit="false"/>
      <protection locked="true" hidden="false"/>
    </xf>
    <xf numFmtId="164" fontId="8" fillId="0" borderId="8" xfId="0" applyFont="true" applyBorder="true" applyAlignment="true" applyProtection="false">
      <alignment horizontal="general" vertical="bottom" textRotation="0" wrapText="false" indent="0" shrinkToFit="false"/>
      <protection locked="true" hidden="false"/>
    </xf>
    <xf numFmtId="165" fontId="9" fillId="3" borderId="9" xfId="0" applyFont="true" applyBorder="true" applyAlignment="true" applyProtection="false">
      <alignment horizontal="center" vertical="center" textRotation="0" wrapText="false" indent="0" shrinkToFit="false"/>
      <protection locked="true" hidden="false"/>
    </xf>
    <xf numFmtId="164" fontId="8" fillId="4" borderId="8" xfId="0" applyFont="true" applyBorder="true" applyAlignment="true" applyProtection="false">
      <alignment horizontal="center" vertical="center" textRotation="0" wrapText="false" indent="0" shrinkToFit="false"/>
      <protection locked="true" hidden="false"/>
    </xf>
    <xf numFmtId="164" fontId="8" fillId="4" borderId="8" xfId="0" applyFont="true" applyBorder="true" applyAlignment="true" applyProtection="false">
      <alignment horizontal="general" vertical="bottom" textRotation="0" wrapText="false" indent="0" shrinkToFit="false"/>
      <protection locked="true" hidden="false"/>
    </xf>
    <xf numFmtId="164" fontId="8" fillId="4" borderId="5" xfId="0" applyFont="true" applyBorder="true" applyAlignment="true" applyProtection="false">
      <alignment horizontal="center" vertical="center" textRotation="0" wrapText="false" indent="0" shrinkToFit="false"/>
      <protection locked="true" hidden="false"/>
    </xf>
    <xf numFmtId="164" fontId="8" fillId="0" borderId="10" xfId="0" applyFont="true" applyBorder="true" applyAlignment="true" applyProtection="false">
      <alignment horizontal="center" vertical="center" textRotation="0" wrapText="false" indent="0" shrinkToFit="false"/>
      <protection locked="true" hidden="false"/>
    </xf>
    <xf numFmtId="165" fontId="9" fillId="3" borderId="11" xfId="0" applyFont="true" applyBorder="true" applyAlignment="true" applyProtection="false">
      <alignment horizontal="center" vertical="center" textRotation="0" wrapText="false" indent="0" shrinkToFit="false"/>
      <protection locked="true" hidden="false"/>
    </xf>
    <xf numFmtId="164" fontId="9" fillId="2" borderId="12" xfId="0" applyFont="true" applyBorder="true" applyAlignment="true" applyProtection="false">
      <alignment horizontal="center" vertical="center" textRotation="0" wrapText="false" indent="0" shrinkToFit="false"/>
      <protection locked="true" hidden="false"/>
    </xf>
    <xf numFmtId="164" fontId="9" fillId="2" borderId="13" xfId="0" applyFont="true" applyBorder="true" applyAlignment="true" applyProtection="false">
      <alignment horizontal="center" vertical="center" textRotation="0" wrapText="true" indent="0" shrinkToFit="false"/>
      <protection locked="true" hidden="false"/>
    </xf>
    <xf numFmtId="164" fontId="10" fillId="0" borderId="8" xfId="0" applyFont="true" applyBorder="true" applyAlignment="true" applyProtection="false">
      <alignment horizontal="center" vertical="center" textRotation="90" wrapText="true" indent="0" shrinkToFit="false"/>
      <protection locked="true" hidden="false"/>
    </xf>
    <xf numFmtId="164" fontId="8" fillId="2" borderId="6" xfId="0" applyFont="true" applyBorder="true" applyAlignment="true" applyProtection="false">
      <alignment horizontal="general" vertical="bottom" textRotation="0" wrapText="false" indent="0" shrinkToFit="false"/>
      <protection locked="true" hidden="false"/>
    </xf>
    <xf numFmtId="164" fontId="8" fillId="0" borderId="14"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5F5F5"/>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1"/>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99720</xdr:colOff>
      <xdr:row>0</xdr:row>
      <xdr:rowOff>522720</xdr:rowOff>
    </xdr:to>
    <xdr:pic>
      <xdr:nvPicPr>
        <xdr:cNvPr id="0" name="Image 1" descr="Picture"/>
        <xdr:cNvPicPr/>
      </xdr:nvPicPr>
      <xdr:blipFill>
        <a:blip r:embed="rId1"/>
        <a:stretch/>
      </xdr:blipFill>
      <xdr:spPr>
        <a:xfrm>
          <a:off x="0" y="0"/>
          <a:ext cx="522720" cy="522720"/>
        </a:xfrm>
        <a:prstGeom prst="rect">
          <a:avLst/>
        </a:prstGeom>
        <a:ln w="0">
          <a:noFill/>
        </a:ln>
      </xdr:spPr>
    </xdr:pic>
    <xdr:clientData/>
  </xdr:twoCellAnchor>
  <xdr:twoCellAnchor editAs="oneCell">
    <xdr:from>
      <xdr:col>10</xdr:col>
      <xdr:colOff>0</xdr:colOff>
      <xdr:row>0</xdr:row>
      <xdr:rowOff>0</xdr:rowOff>
    </xdr:from>
    <xdr:to>
      <xdr:col>11</xdr:col>
      <xdr:colOff>64440</xdr:colOff>
      <xdr:row>0</xdr:row>
      <xdr:rowOff>522720</xdr:rowOff>
    </xdr:to>
    <xdr:pic>
      <xdr:nvPicPr>
        <xdr:cNvPr id="1" name="Image 2" descr="Picture"/>
        <xdr:cNvPicPr/>
      </xdr:nvPicPr>
      <xdr:blipFill>
        <a:blip r:embed="rId2"/>
        <a:stretch/>
      </xdr:blipFill>
      <xdr:spPr>
        <a:xfrm>
          <a:off x="6210360" y="0"/>
          <a:ext cx="523440" cy="522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99720</xdr:colOff>
      <xdr:row>0</xdr:row>
      <xdr:rowOff>522720</xdr:rowOff>
    </xdr:to>
    <xdr:pic>
      <xdr:nvPicPr>
        <xdr:cNvPr id="2" name="Image 1" descr="Picture"/>
        <xdr:cNvPicPr/>
      </xdr:nvPicPr>
      <xdr:blipFill>
        <a:blip r:embed="rId1"/>
        <a:stretch/>
      </xdr:blipFill>
      <xdr:spPr>
        <a:xfrm>
          <a:off x="0" y="0"/>
          <a:ext cx="522720" cy="522720"/>
        </a:xfrm>
        <a:prstGeom prst="rect">
          <a:avLst/>
        </a:prstGeom>
        <a:ln w="0">
          <a:noFill/>
        </a:ln>
      </xdr:spPr>
    </xdr:pic>
    <xdr:clientData/>
  </xdr:twoCellAnchor>
  <xdr:twoCellAnchor editAs="oneCell">
    <xdr:from>
      <xdr:col>10</xdr:col>
      <xdr:colOff>0</xdr:colOff>
      <xdr:row>0</xdr:row>
      <xdr:rowOff>0</xdr:rowOff>
    </xdr:from>
    <xdr:to>
      <xdr:col>11</xdr:col>
      <xdr:colOff>64440</xdr:colOff>
      <xdr:row>0</xdr:row>
      <xdr:rowOff>522720</xdr:rowOff>
    </xdr:to>
    <xdr:pic>
      <xdr:nvPicPr>
        <xdr:cNvPr id="3" name="Image 2" descr="Picture"/>
        <xdr:cNvPicPr/>
      </xdr:nvPicPr>
      <xdr:blipFill>
        <a:blip r:embed="rId2"/>
        <a:stretch/>
      </xdr:blipFill>
      <xdr:spPr>
        <a:xfrm>
          <a:off x="6597000" y="0"/>
          <a:ext cx="523440" cy="522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90"/>
  </cols>
  <sheetData>
    <row r="1" customFormat="false" ht="17.25" hidden="false" customHeight="true" outlineLevel="0" collapsed="false">
      <c r="A1" s="2" t="s">
        <v>0</v>
      </c>
    </row>
    <row r="2" customFormat="false" ht="15" hidden="false" customHeight="true" outlineLevel="0" collapsed="false">
      <c r="A2" s="1" t="s">
        <v>1</v>
      </c>
    </row>
    <row r="4" customFormat="false" ht="15" hidden="false" customHeight="true" outlineLevel="0" collapsed="false">
      <c r="A4" s="1" t="s">
        <v>2</v>
      </c>
      <c r="B4" s="3" t="s">
        <v>3</v>
      </c>
    </row>
    <row r="6" customFormat="false" ht="15" hidden="false" customHeight="true" outlineLevel="0" collapsed="false">
      <c r="A6" s="4" t="s">
        <v>4</v>
      </c>
    </row>
    <row r="7" customFormat="false" ht="15" hidden="false" customHeight="true" outlineLevel="0" collapsed="false">
      <c r="A7" s="1" t="s">
        <v>5</v>
      </c>
      <c r="B7" s="3" t="s">
        <v>6</v>
      </c>
    </row>
    <row r="8" customFormat="false" ht="15" hidden="false" customHeight="true" outlineLevel="0" collapsed="false">
      <c r="A8" s="1" t="s">
        <v>7</v>
      </c>
      <c r="B8" s="3" t="s">
        <v>8</v>
      </c>
    </row>
    <row r="9" customFormat="false" ht="15" hidden="false" customHeight="true" outlineLevel="0" collapsed="false">
      <c r="A9" s="1" t="s">
        <v>9</v>
      </c>
      <c r="B9" s="3" t="s">
        <v>10</v>
      </c>
    </row>
    <row r="10" customFormat="false" ht="15" hidden="false" customHeight="true" outlineLevel="0" collapsed="false">
      <c r="A10" s="1" t="s">
        <v>11</v>
      </c>
      <c r="B10" s="3" t="s">
        <v>12</v>
      </c>
    </row>
    <row r="11" customFormat="false" ht="41.25" hidden="false" customHeight="true" outlineLevel="0" collapsed="false">
      <c r="A11" s="1" t="s">
        <v>13</v>
      </c>
      <c r="B11" s="3" t="s">
        <v>14</v>
      </c>
    </row>
    <row r="13" customFormat="false" ht="15" hidden="false" customHeight="true" outlineLevel="0" collapsed="false">
      <c r="A13" s="4" t="s">
        <v>15</v>
      </c>
    </row>
    <row r="14" customFormat="false" ht="15" hidden="false" customHeight="true" outlineLevel="0" collapsed="false">
      <c r="A14" s="1" t="s">
        <v>16</v>
      </c>
      <c r="B14" s="3" t="s">
        <v>17</v>
      </c>
    </row>
    <row r="15" customFormat="false" ht="15" hidden="false" customHeight="true" outlineLevel="0" collapsed="false">
      <c r="A15" s="1" t="s">
        <v>18</v>
      </c>
      <c r="B15" s="3" t="s">
        <v>19</v>
      </c>
    </row>
    <row r="16" customFormat="false" ht="15" hidden="false" customHeight="true" outlineLevel="0" collapsed="false">
      <c r="A16" s="1" t="s">
        <v>20</v>
      </c>
      <c r="B16" s="3" t="s">
        <v>21</v>
      </c>
    </row>
    <row r="17" customFormat="false" ht="15" hidden="false" customHeight="true" outlineLevel="0" collapsed="false">
      <c r="A17" s="1" t="s">
        <v>22</v>
      </c>
      <c r="B17" s="3" t="s">
        <v>23</v>
      </c>
    </row>
    <row r="18" customFormat="false" ht="15" hidden="false" customHeight="true" outlineLevel="0" collapsed="false">
      <c r="A18" s="1" t="s">
        <v>24</v>
      </c>
      <c r="B18" s="3" t="s">
        <v>25</v>
      </c>
    </row>
    <row r="19" customFormat="false" ht="15" hidden="false" customHeight="true" outlineLevel="0" collapsed="false">
      <c r="A19" s="1" t="s">
        <v>26</v>
      </c>
      <c r="B19" s="3" t="s">
        <v>27</v>
      </c>
    </row>
    <row r="21" customFormat="false" ht="15" hidden="false" customHeight="true" outlineLevel="0" collapsed="false">
      <c r="A21" s="4" t="s">
        <v>28</v>
      </c>
    </row>
    <row r="22" customFormat="false" ht="15" hidden="false" customHeight="true" outlineLevel="0" collapsed="false">
      <c r="A22" s="1" t="s">
        <v>16</v>
      </c>
      <c r="B22" s="3" t="s">
        <v>17</v>
      </c>
    </row>
    <row r="23" customFormat="false" ht="15" hidden="false" customHeight="true" outlineLevel="0" collapsed="false">
      <c r="A23" s="1" t="s">
        <v>18</v>
      </c>
      <c r="B23" s="3" t="s">
        <v>19</v>
      </c>
    </row>
    <row r="24" customFormat="false" ht="15" hidden="false" customHeight="true" outlineLevel="0" collapsed="false">
      <c r="A24" s="1" t="s">
        <v>29</v>
      </c>
      <c r="B24" s="3" t="s">
        <v>30</v>
      </c>
    </row>
    <row r="25" customFormat="false" ht="15" hidden="false" customHeight="true" outlineLevel="0" collapsed="false">
      <c r="A25" s="1" t="s">
        <v>20</v>
      </c>
      <c r="B25" s="3" t="s">
        <v>31</v>
      </c>
    </row>
    <row r="26" customFormat="false" ht="15" hidden="false" customHeight="true" outlineLevel="0" collapsed="false">
      <c r="A26" s="1" t="s">
        <v>22</v>
      </c>
      <c r="B26" s="3" t="s">
        <v>32</v>
      </c>
    </row>
    <row r="27" customFormat="false" ht="15" hidden="false" customHeight="true" outlineLevel="0" collapsed="false">
      <c r="A27" s="1" t="s">
        <v>33</v>
      </c>
      <c r="B27" s="3" t="s">
        <v>34</v>
      </c>
    </row>
    <row r="28" customFormat="false" ht="15" hidden="false" customHeight="true" outlineLevel="0" collapsed="false">
      <c r="A28" s="1" t="s">
        <v>35</v>
      </c>
      <c r="B28" s="3" t="s">
        <v>36</v>
      </c>
    </row>
    <row r="29" customFormat="false" ht="15" hidden="false" customHeight="true" outlineLevel="0" collapsed="false">
      <c r="A29" s="1" t="s">
        <v>37</v>
      </c>
      <c r="B29" s="3" t="s">
        <v>38</v>
      </c>
    </row>
    <row r="30" customFormat="false" ht="15" hidden="false" customHeight="true" outlineLevel="0" collapsed="false">
      <c r="A30" s="1" t="s">
        <v>39</v>
      </c>
      <c r="B30" s="3" t="s">
        <v>40</v>
      </c>
    </row>
    <row r="31" customFormat="false" ht="15" hidden="false" customHeight="true" outlineLevel="0" collapsed="false">
      <c r="A31" s="1" t="s">
        <v>41</v>
      </c>
      <c r="B31" s="3" t="s">
        <v>42</v>
      </c>
    </row>
    <row r="32" customFormat="false" ht="27.75" hidden="false" customHeight="true" outlineLevel="0" collapsed="false">
      <c r="A32" s="1" t="s">
        <v>26</v>
      </c>
      <c r="B32" s="3" t="s">
        <v>43</v>
      </c>
    </row>
    <row r="34" customFormat="false" ht="15" hidden="false" customHeight="true" outlineLevel="0" collapsed="false">
      <c r="A34" s="4" t="s">
        <v>44</v>
      </c>
    </row>
    <row r="35" customFormat="false" ht="41.25" hidden="false" customHeight="true" outlineLevel="0" collapsed="false">
      <c r="A35" s="1" t="s">
        <v>45</v>
      </c>
      <c r="B35" s="3" t="s">
        <v>46</v>
      </c>
    </row>
    <row r="36" customFormat="false" ht="81.75" hidden="false" customHeight="true" outlineLevel="0" collapsed="false">
      <c r="A36" s="1" t="s">
        <v>47</v>
      </c>
      <c r="B36" s="3" t="s">
        <v>48</v>
      </c>
    </row>
    <row r="38" customFormat="false" ht="15" hidden="false" customHeight="true" outlineLevel="0" collapsed="false">
      <c r="A38" s="4" t="s">
        <v>49</v>
      </c>
    </row>
    <row r="39" customFormat="false" ht="15" hidden="false" customHeight="true" outlineLevel="0" collapsed="false">
      <c r="A39" s="1" t="s">
        <v>50</v>
      </c>
      <c r="B39" s="3" t="s">
        <v>51</v>
      </c>
    </row>
    <row r="40" customFormat="false" ht="15" hidden="false" customHeight="true" outlineLevel="0" collapsed="false">
      <c r="A40" s="1" t="s">
        <v>52</v>
      </c>
      <c r="B40" s="3" t="s">
        <v>53</v>
      </c>
    </row>
    <row r="41" customFormat="false" ht="15" hidden="false" customHeight="true" outlineLevel="0" collapsed="false">
      <c r="A41" s="1" t="s">
        <v>54</v>
      </c>
      <c r="B41" s="3" t="s">
        <v>55</v>
      </c>
    </row>
    <row r="42" customFormat="false" ht="15" hidden="false" customHeight="true" outlineLevel="0" collapsed="false">
      <c r="A42" s="1" t="s">
        <v>56</v>
      </c>
      <c r="B42" s="3" t="s">
        <v>57</v>
      </c>
    </row>
    <row r="43" customFormat="false" ht="15" hidden="false" customHeight="true" outlineLevel="0" collapsed="false">
      <c r="A43" s="1" t="s">
        <v>58</v>
      </c>
      <c r="B43" s="3" t="s">
        <v>59</v>
      </c>
    </row>
    <row r="44" customFormat="false" ht="15" hidden="false" customHeight="true" outlineLevel="0" collapsed="false">
      <c r="A44" s="1" t="s">
        <v>60</v>
      </c>
      <c r="B44" s="3" t="s">
        <v>61</v>
      </c>
    </row>
    <row r="45" customFormat="false" ht="15" hidden="false" customHeight="true" outlineLevel="0" collapsed="false">
      <c r="A45" s="1" t="s">
        <v>62</v>
      </c>
      <c r="B45" s="3" t="s">
        <v>63</v>
      </c>
    </row>
    <row r="46" customFormat="false" ht="15" hidden="false" customHeight="true" outlineLevel="0" collapsed="false">
      <c r="A46" s="1" t="s">
        <v>64</v>
      </c>
      <c r="B46" s="3" t="s">
        <v>65</v>
      </c>
    </row>
    <row r="48" customFormat="false" ht="15" hidden="false" customHeight="true" outlineLevel="0" collapsed="false">
      <c r="A48" s="4" t="s">
        <v>66</v>
      </c>
    </row>
    <row r="49" customFormat="false" ht="41.25" hidden="false" customHeight="true" outlineLevel="0" collapsed="false">
      <c r="A49" s="1" t="s">
        <v>67</v>
      </c>
      <c r="B49" s="3" t="s">
        <v>68</v>
      </c>
    </row>
    <row r="50" customFormat="false" ht="27.75" hidden="false" customHeight="true" outlineLevel="0" collapsed="false">
      <c r="A50" s="1" t="s">
        <v>69</v>
      </c>
      <c r="B50" s="3" t="s">
        <v>70</v>
      </c>
    </row>
    <row r="51" customFormat="false" ht="81.75" hidden="false" customHeight="true" outlineLevel="0" collapsed="false">
      <c r="A51" s="1" t="s">
        <v>71</v>
      </c>
      <c r="B51" s="3" t="s">
        <v>72</v>
      </c>
    </row>
    <row r="52" customFormat="false" ht="68.25" hidden="false" customHeight="true" outlineLevel="0" collapsed="false">
      <c r="A52" s="1" t="s">
        <v>73</v>
      </c>
      <c r="B52" s="3" t="s">
        <v>74</v>
      </c>
    </row>
    <row r="53" customFormat="false" ht="15" hidden="false" customHeight="true" outlineLevel="0" collapsed="false">
      <c r="A53" s="1" t="s">
        <v>75</v>
      </c>
      <c r="B53" s="3" t="s">
        <v>76</v>
      </c>
    </row>
    <row r="55" customFormat="false" ht="15" hidden="false" customHeight="true" outlineLevel="0" collapsed="false">
      <c r="A55" s="4" t="s">
        <v>77</v>
      </c>
    </row>
    <row r="56" customFormat="false" ht="54.75" hidden="false" customHeight="true" outlineLevel="0" collapsed="false">
      <c r="B56" s="3" t="s">
        <v>78</v>
      </c>
    </row>
    <row r="58" customFormat="false" ht="15" hidden="false" customHeight="true" outlineLevel="0" collapsed="false">
      <c r="A58" s="4" t="s">
        <v>79</v>
      </c>
    </row>
    <row r="59" customFormat="false" ht="68.25" hidden="false" customHeight="true" outlineLevel="0" collapsed="false">
      <c r="B59" s="3"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1"/>
  <cols>
    <col collapsed="false" customWidth="true" hidden="false" outlineLevel="0" max="1" min="1" style="1" width="6"/>
    <col collapsed="false" customWidth="true" hidden="false" outlineLevel="0" max="2" min="2" style="1" width="30"/>
    <col collapsed="false" customWidth="true" hidden="false" outlineLevel="1" max="12" min="3" style="1" width="6.51"/>
    <col collapsed="false" customWidth="true" hidden="false" outlineLevel="0" max="13" min="13" style="1" width="11"/>
    <col collapsed="false" customWidth="true" hidden="false" outlineLevel="0" max="17" min="17" style="1" width="60"/>
  </cols>
  <sheetData>
    <row r="1" customFormat="false" ht="60" hidden="false" customHeight="true" outlineLevel="0" collapsed="false">
      <c r="A1" s="5" t="s">
        <v>81</v>
      </c>
      <c r="B1" s="5"/>
      <c r="C1" s="5"/>
      <c r="D1" s="5"/>
      <c r="E1" s="5"/>
      <c r="F1" s="5"/>
      <c r="G1" s="5"/>
      <c r="H1" s="5"/>
      <c r="I1" s="5"/>
      <c r="J1" s="5"/>
      <c r="K1" s="5"/>
      <c r="L1" s="5"/>
      <c r="M1" s="5"/>
      <c r="N1" s="5"/>
      <c r="O1" s="6"/>
      <c r="Q1" s="7" t="s">
        <v>82</v>
      </c>
      <c r="T1" s="7"/>
    </row>
    <row r="2" customFormat="false" ht="15" hidden="false" customHeight="true" outlineLevel="0" collapsed="false">
      <c r="A2" s="8" t="s">
        <v>83</v>
      </c>
      <c r="B2" s="8"/>
      <c r="C2" s="8"/>
      <c r="D2" s="8"/>
      <c r="E2" s="8"/>
      <c r="F2" s="8"/>
      <c r="G2" s="8"/>
      <c r="H2" s="8"/>
      <c r="I2" s="8"/>
      <c r="J2" s="8"/>
      <c r="K2" s="8"/>
      <c r="L2" s="8"/>
      <c r="M2" s="8"/>
      <c r="N2" s="8"/>
    </row>
    <row r="3" customFormat="false" ht="15" hidden="false" customHeight="true" outlineLevel="0" collapsed="false">
      <c r="A3" s="9" t="s">
        <v>84</v>
      </c>
      <c r="B3" s="9"/>
      <c r="C3" s="9"/>
      <c r="D3" s="9"/>
      <c r="E3" s="9"/>
      <c r="F3" s="9"/>
      <c r="G3" s="9"/>
      <c r="H3" s="9"/>
      <c r="I3" s="9"/>
      <c r="J3" s="9"/>
      <c r="K3" s="9"/>
      <c r="L3" s="9"/>
      <c r="M3" s="9"/>
      <c r="N3" s="9"/>
    </row>
    <row r="4" customFormat="false" ht="15" hidden="false" customHeight="true" outlineLevel="0" collapsed="false">
      <c r="A4" s="10" t="s">
        <v>85</v>
      </c>
      <c r="B4" s="10"/>
      <c r="C4" s="10" t="s">
        <v>86</v>
      </c>
      <c r="D4" s="10"/>
      <c r="E4" s="10"/>
      <c r="F4" s="10"/>
      <c r="G4" s="10"/>
      <c r="H4" s="10"/>
      <c r="I4" s="10"/>
      <c r="J4" s="10"/>
      <c r="K4" s="10"/>
      <c r="L4" s="10"/>
      <c r="M4" s="10"/>
      <c r="N4" s="10"/>
    </row>
    <row r="5" customFormat="false" ht="15" hidden="false" customHeight="true" outlineLevel="0" collapsed="false">
      <c r="A5" s="10" t="s">
        <v>87</v>
      </c>
      <c r="B5" s="10"/>
      <c r="C5" s="10" t="s">
        <v>88</v>
      </c>
      <c r="D5" s="10"/>
      <c r="E5" s="10"/>
      <c r="F5" s="10"/>
      <c r="G5" s="10"/>
      <c r="H5" s="10"/>
      <c r="I5" s="10" t="s">
        <v>89</v>
      </c>
      <c r="J5" s="10"/>
      <c r="O5" s="11"/>
    </row>
    <row r="6" customFormat="false" ht="15" hidden="false" customHeight="true" outlineLevel="0" collapsed="false">
      <c r="A6" s="12" t="s">
        <v>90</v>
      </c>
      <c r="B6" s="12" t="s">
        <v>91</v>
      </c>
      <c r="C6" s="13" t="s">
        <v>92</v>
      </c>
      <c r="D6" s="13"/>
      <c r="E6" s="13"/>
      <c r="F6" s="13"/>
      <c r="G6" s="13"/>
      <c r="H6" s="13"/>
      <c r="I6" s="13"/>
      <c r="J6" s="13"/>
      <c r="K6" s="14" t="s">
        <v>93</v>
      </c>
      <c r="L6" s="15" t="s">
        <v>69</v>
      </c>
      <c r="M6" s="16" t="s">
        <v>94</v>
      </c>
      <c r="N6" s="16"/>
      <c r="O6" s="16"/>
      <c r="P6" s="16"/>
      <c r="Q6" s="16"/>
      <c r="R6" s="16"/>
    </row>
    <row r="7" customFormat="false" ht="94.5" hidden="false" customHeight="true" outlineLevel="0" collapsed="false">
      <c r="A7" s="12"/>
      <c r="B7" s="12"/>
      <c r="C7" s="17" t="s">
        <v>95</v>
      </c>
      <c r="D7" s="17" t="s">
        <v>96</v>
      </c>
      <c r="E7" s="17" t="s">
        <v>97</v>
      </c>
      <c r="F7" s="17" t="s">
        <v>98</v>
      </c>
      <c r="G7" s="17" t="s">
        <v>99</v>
      </c>
      <c r="H7" s="17" t="s">
        <v>100</v>
      </c>
      <c r="I7" s="17" t="s">
        <v>101</v>
      </c>
      <c r="J7" s="17" t="s">
        <v>102</v>
      </c>
      <c r="K7" s="14"/>
      <c r="L7" s="15"/>
      <c r="M7" s="16"/>
    </row>
    <row r="8" customFormat="false" ht="15" hidden="false" customHeight="true" outlineLevel="0" collapsed="false">
      <c r="A8" s="18" t="s">
        <v>103</v>
      </c>
      <c r="B8" s="19" t="s">
        <v>104</v>
      </c>
      <c r="C8" s="20" t="n">
        <v>0</v>
      </c>
      <c r="D8" s="20" t="n">
        <v>0</v>
      </c>
      <c r="E8" s="20" t="n">
        <v>0</v>
      </c>
      <c r="F8" s="20" t="n">
        <v>0</v>
      </c>
      <c r="G8" s="20" t="n">
        <v>0</v>
      </c>
      <c r="H8" s="20" t="n">
        <v>0</v>
      </c>
      <c r="I8" s="20" t="n">
        <v>0</v>
      </c>
      <c r="J8" s="20" t="n">
        <v>0</v>
      </c>
      <c r="K8" s="21" t="n">
        <f aca="false">SUM(C8:J8)</f>
        <v>0</v>
      </c>
      <c r="L8" s="1" t="n">
        <f aca="false">SUM(K8)</f>
        <v>0</v>
      </c>
    </row>
    <row r="9" customFormat="false" ht="15" hidden="false" customHeight="true" outlineLevel="0" collapsed="false">
      <c r="A9" s="22" t="n">
        <v>1</v>
      </c>
      <c r="B9" s="23" t="s">
        <v>64</v>
      </c>
      <c r="C9" s="20" t="n">
        <v>0</v>
      </c>
      <c r="D9" s="20" t="n">
        <v>0</v>
      </c>
      <c r="E9" s="20" t="n">
        <v>0</v>
      </c>
      <c r="F9" s="20" t="n">
        <v>0</v>
      </c>
      <c r="G9" s="20" t="n">
        <v>0</v>
      </c>
      <c r="H9" s="20" t="n">
        <v>0</v>
      </c>
      <c r="I9" s="20" t="n">
        <v>0</v>
      </c>
      <c r="J9" s="20" t="n">
        <v>0</v>
      </c>
      <c r="K9" s="24" t="n">
        <f aca="false">SUM(C9:J9)</f>
        <v>0</v>
      </c>
      <c r="L9" s="22" t="n">
        <f aca="false">K9</f>
        <v>0</v>
      </c>
      <c r="M9" s="22" t="n">
        <v>0</v>
      </c>
      <c r="N9" s="22"/>
      <c r="O9" s="22"/>
      <c r="P9" s="22"/>
      <c r="Q9" s="22"/>
      <c r="R9" s="22"/>
    </row>
    <row r="10" customFormat="false" ht="15" hidden="false" customHeight="true" outlineLevel="0" collapsed="false">
      <c r="A10" s="25" t="n">
        <v>2</v>
      </c>
      <c r="B10" s="26" t="s">
        <v>64</v>
      </c>
      <c r="C10" s="27" t="n">
        <v>0</v>
      </c>
      <c r="D10" s="27" t="n">
        <v>0</v>
      </c>
      <c r="E10" s="27" t="n">
        <v>0</v>
      </c>
      <c r="F10" s="27" t="n">
        <v>0</v>
      </c>
      <c r="G10" s="27" t="n">
        <v>0</v>
      </c>
      <c r="H10" s="27" t="n">
        <v>0</v>
      </c>
      <c r="I10" s="27" t="n">
        <v>0</v>
      </c>
      <c r="J10" s="27" t="n">
        <v>0</v>
      </c>
      <c r="K10" s="24" t="n">
        <f aca="false">SUM(C10:J10)</f>
        <v>0</v>
      </c>
      <c r="L10" s="25" t="n">
        <f aca="false">K10</f>
        <v>0</v>
      </c>
      <c r="M10" s="25" t="n">
        <v>0</v>
      </c>
      <c r="N10" s="25"/>
      <c r="O10" s="25"/>
      <c r="P10" s="25"/>
      <c r="Q10" s="25"/>
      <c r="R10" s="25"/>
    </row>
    <row r="11" customFormat="false" ht="15" hidden="false" customHeight="true" outlineLevel="0" collapsed="false">
      <c r="A11" s="22" t="n">
        <v>3</v>
      </c>
      <c r="B11" s="23" t="s">
        <v>64</v>
      </c>
      <c r="C11" s="20" t="n">
        <v>0</v>
      </c>
      <c r="D11" s="20" t="n">
        <v>0</v>
      </c>
      <c r="E11" s="20" t="n">
        <v>0</v>
      </c>
      <c r="F11" s="20" t="n">
        <v>0</v>
      </c>
      <c r="G11" s="20" t="n">
        <v>0</v>
      </c>
      <c r="H11" s="20" t="n">
        <v>0</v>
      </c>
      <c r="I11" s="20" t="n">
        <v>0</v>
      </c>
      <c r="J11" s="20" t="n">
        <v>0</v>
      </c>
      <c r="K11" s="24" t="n">
        <f aca="false">SUM(C11:J11)</f>
        <v>0</v>
      </c>
      <c r="L11" s="22" t="n">
        <f aca="false">K11</f>
        <v>0</v>
      </c>
      <c r="M11" s="22" t="n">
        <v>0</v>
      </c>
      <c r="N11" s="22"/>
      <c r="O11" s="22"/>
      <c r="P11" s="22"/>
      <c r="Q11" s="22"/>
      <c r="R11" s="22"/>
    </row>
    <row r="12" customFormat="false" ht="15" hidden="false" customHeight="true" outlineLevel="0" collapsed="false">
      <c r="A12" s="25" t="n">
        <v>4</v>
      </c>
      <c r="B12" s="26" t="s">
        <v>64</v>
      </c>
      <c r="C12" s="27" t="n">
        <v>0</v>
      </c>
      <c r="D12" s="27" t="n">
        <v>0</v>
      </c>
      <c r="E12" s="27" t="n">
        <v>0</v>
      </c>
      <c r="F12" s="27" t="n">
        <v>0</v>
      </c>
      <c r="G12" s="27" t="n">
        <v>0</v>
      </c>
      <c r="H12" s="27" t="n">
        <v>0</v>
      </c>
      <c r="I12" s="27" t="n">
        <v>0</v>
      </c>
      <c r="J12" s="27" t="n">
        <v>0</v>
      </c>
      <c r="K12" s="24" t="n">
        <f aca="false">SUM(C12:J12)</f>
        <v>0</v>
      </c>
      <c r="L12" s="25" t="n">
        <f aca="false">K12</f>
        <v>0</v>
      </c>
      <c r="M12" s="25" t="n">
        <v>0</v>
      </c>
      <c r="N12" s="25"/>
      <c r="O12" s="25"/>
      <c r="P12" s="25"/>
      <c r="Q12" s="25"/>
      <c r="R12" s="25"/>
    </row>
    <row r="13" customFormat="false" ht="15" hidden="false" customHeight="true" outlineLevel="0" collapsed="false">
      <c r="A13" s="22" t="n">
        <v>5</v>
      </c>
      <c r="B13" s="23" t="s">
        <v>64</v>
      </c>
      <c r="C13" s="28" t="n">
        <v>0</v>
      </c>
      <c r="D13" s="28" t="n">
        <v>0</v>
      </c>
      <c r="E13" s="28" t="n">
        <v>0</v>
      </c>
      <c r="F13" s="28" t="n">
        <v>0</v>
      </c>
      <c r="G13" s="28" t="n">
        <v>0</v>
      </c>
      <c r="H13" s="28" t="n">
        <v>0</v>
      </c>
      <c r="I13" s="28" t="n">
        <v>0</v>
      </c>
      <c r="J13" s="28" t="n">
        <v>0</v>
      </c>
      <c r="K13" s="29" t="n">
        <f aca="false">SUM(C13:J13)</f>
        <v>0</v>
      </c>
      <c r="L13" s="22" t="n">
        <f aca="false">K13</f>
        <v>0</v>
      </c>
      <c r="M13" s="22" t="n">
        <v>0</v>
      </c>
      <c r="N13" s="22"/>
      <c r="O13" s="22"/>
      <c r="P13" s="22"/>
      <c r="Q13" s="22"/>
      <c r="R13" s="22"/>
    </row>
  </sheetData>
  <mergeCells count="14">
    <mergeCell ref="A1:N1"/>
    <mergeCell ref="A2:N2"/>
    <mergeCell ref="A3:N3"/>
    <mergeCell ref="A4:B4"/>
    <mergeCell ref="C4:N4"/>
    <mergeCell ref="A5:B5"/>
    <mergeCell ref="C5:H5"/>
    <mergeCell ref="I5:J5"/>
    <mergeCell ref="A6:A7"/>
    <mergeCell ref="B6:B7"/>
    <mergeCell ref="C6:J6"/>
    <mergeCell ref="K6:K7"/>
    <mergeCell ref="L6:L7"/>
    <mergeCell ref="M6:M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3"/>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1"/>
  <cols>
    <col collapsed="false" customWidth="true" hidden="false" outlineLevel="0" max="1" min="1" style="1" width="6"/>
    <col collapsed="false" customWidth="true" hidden="false" outlineLevel="0" max="2" min="2" style="1" width="30"/>
    <col collapsed="false" customWidth="true" hidden="false" outlineLevel="0" max="3" min="3" style="1" width="12"/>
    <col collapsed="false" customWidth="true" hidden="false" outlineLevel="1" max="12" min="4" style="1" width="6.51"/>
    <col collapsed="false" customWidth="true" hidden="false" outlineLevel="0" max="18" min="13" style="1" width="11"/>
    <col collapsed="false" customWidth="true" hidden="false" outlineLevel="0" max="20" min="20" style="1" width="60"/>
  </cols>
  <sheetData>
    <row r="1" customFormat="false" ht="60" hidden="false" customHeight="true" outlineLevel="0" collapsed="false">
      <c r="A1" s="5" t="s">
        <v>81</v>
      </c>
      <c r="B1" s="5"/>
      <c r="C1" s="5"/>
      <c r="D1" s="5"/>
      <c r="E1" s="5"/>
      <c r="F1" s="5"/>
      <c r="G1" s="5"/>
      <c r="H1" s="5"/>
      <c r="I1" s="5"/>
      <c r="J1" s="5"/>
      <c r="K1" s="5"/>
      <c r="L1" s="5"/>
      <c r="M1" s="5"/>
      <c r="N1" s="5"/>
      <c r="O1" s="6"/>
      <c r="T1" s="7" t="s">
        <v>105</v>
      </c>
    </row>
    <row r="2" customFormat="false" ht="15" hidden="false" customHeight="true" outlineLevel="0" collapsed="false">
      <c r="A2" s="8" t="s">
        <v>83</v>
      </c>
      <c r="B2" s="8"/>
      <c r="C2" s="8"/>
      <c r="D2" s="8"/>
      <c r="E2" s="8"/>
      <c r="F2" s="8"/>
      <c r="G2" s="8"/>
      <c r="H2" s="8"/>
      <c r="I2" s="8"/>
      <c r="J2" s="8"/>
      <c r="K2" s="8"/>
      <c r="L2" s="8"/>
      <c r="M2" s="8"/>
      <c r="N2" s="8"/>
    </row>
    <row r="3" customFormat="false" ht="15" hidden="false" customHeight="true" outlineLevel="0" collapsed="false">
      <c r="A3" s="9" t="s">
        <v>106</v>
      </c>
      <c r="B3" s="9"/>
      <c r="C3" s="9"/>
      <c r="D3" s="9"/>
      <c r="E3" s="9"/>
      <c r="F3" s="9"/>
      <c r="G3" s="9"/>
      <c r="H3" s="9"/>
      <c r="I3" s="9"/>
      <c r="J3" s="9"/>
      <c r="K3" s="9"/>
      <c r="L3" s="9"/>
      <c r="M3" s="9"/>
      <c r="N3" s="9"/>
    </row>
    <row r="4" customFormat="false" ht="15" hidden="false" customHeight="true" outlineLevel="0" collapsed="false">
      <c r="A4" s="10" t="s">
        <v>85</v>
      </c>
      <c r="B4" s="10"/>
      <c r="C4" s="10" t="s">
        <v>86</v>
      </c>
      <c r="D4" s="10"/>
      <c r="E4" s="10"/>
      <c r="F4" s="10"/>
      <c r="G4" s="10"/>
      <c r="H4" s="10"/>
      <c r="I4" s="10"/>
      <c r="J4" s="10"/>
      <c r="K4" s="10"/>
      <c r="L4" s="10"/>
      <c r="M4" s="10"/>
      <c r="N4" s="10"/>
    </row>
    <row r="5" customFormat="false" ht="15" hidden="false" customHeight="true" outlineLevel="0" collapsed="false">
      <c r="A5" s="10" t="s">
        <v>87</v>
      </c>
      <c r="B5" s="10"/>
      <c r="C5" s="10" t="s">
        <v>88</v>
      </c>
      <c r="D5" s="10"/>
      <c r="E5" s="10"/>
      <c r="F5" s="10"/>
      <c r="G5" s="10"/>
      <c r="H5" s="10"/>
      <c r="I5" s="10" t="s">
        <v>89</v>
      </c>
      <c r="J5" s="10"/>
      <c r="O5" s="11"/>
    </row>
    <row r="6" customFormat="false" ht="15" hidden="false" customHeight="true" outlineLevel="0" collapsed="false">
      <c r="A6" s="12" t="s">
        <v>90</v>
      </c>
      <c r="B6" s="12" t="s">
        <v>91</v>
      </c>
      <c r="C6" s="16" t="s">
        <v>94</v>
      </c>
      <c r="D6" s="30" t="s">
        <v>92</v>
      </c>
      <c r="E6" s="30"/>
      <c r="F6" s="30"/>
      <c r="G6" s="30"/>
      <c r="H6" s="30"/>
      <c r="I6" s="30"/>
      <c r="J6" s="30"/>
      <c r="K6" s="30"/>
      <c r="L6" s="31" t="s">
        <v>93</v>
      </c>
      <c r="M6" s="16" t="s">
        <v>69</v>
      </c>
      <c r="N6" s="16" t="s">
        <v>107</v>
      </c>
      <c r="O6" s="16" t="s">
        <v>108</v>
      </c>
      <c r="P6" s="16" t="s">
        <v>109</v>
      </c>
      <c r="Q6" s="16" t="s">
        <v>110</v>
      </c>
      <c r="R6" s="16" t="s">
        <v>111</v>
      </c>
    </row>
    <row r="7" customFormat="false" ht="94.5" hidden="false" customHeight="true" outlineLevel="0" collapsed="false">
      <c r="A7" s="12"/>
      <c r="B7" s="12"/>
      <c r="C7" s="12"/>
      <c r="D7" s="17" t="s">
        <v>95</v>
      </c>
      <c r="E7" s="32" t="s">
        <v>96</v>
      </c>
      <c r="F7" s="32" t="s">
        <v>97</v>
      </c>
      <c r="G7" s="32" t="s">
        <v>98</v>
      </c>
      <c r="H7" s="32" t="s">
        <v>99</v>
      </c>
      <c r="I7" s="32" t="s">
        <v>100</v>
      </c>
      <c r="J7" s="32" t="s">
        <v>101</v>
      </c>
      <c r="K7" s="32" t="s">
        <v>102</v>
      </c>
      <c r="L7" s="31"/>
      <c r="M7" s="16"/>
      <c r="N7" s="16"/>
      <c r="O7" s="16"/>
      <c r="P7" s="16"/>
      <c r="Q7" s="16"/>
      <c r="R7" s="16"/>
    </row>
    <row r="8" customFormat="false" ht="15" hidden="false" customHeight="true" outlineLevel="0" collapsed="false">
      <c r="A8" s="18" t="s">
        <v>103</v>
      </c>
      <c r="B8" s="19" t="s">
        <v>104</v>
      </c>
      <c r="C8" s="33"/>
      <c r="D8" s="20" t="n">
        <v>0</v>
      </c>
      <c r="E8" s="22" t="n">
        <v>0</v>
      </c>
      <c r="F8" s="22" t="n">
        <v>0</v>
      </c>
      <c r="G8" s="22" t="n">
        <v>0</v>
      </c>
      <c r="H8" s="22" t="n">
        <v>0</v>
      </c>
      <c r="I8" s="22" t="n">
        <v>0</v>
      </c>
      <c r="J8" s="22" t="n">
        <v>0</v>
      </c>
      <c r="K8" s="22" t="n">
        <v>0</v>
      </c>
      <c r="L8" s="21" t="n">
        <f aca="false">SUM(D8:K8)</f>
        <v>0</v>
      </c>
      <c r="M8" s="1" t="n">
        <f aca="false">SUM(L8)</f>
        <v>0</v>
      </c>
    </row>
    <row r="9" customFormat="false" ht="15" hidden="false" customHeight="true" outlineLevel="0" collapsed="false">
      <c r="A9" s="22" t="n">
        <v>1</v>
      </c>
      <c r="B9" s="23" t="s">
        <v>64</v>
      </c>
      <c r="C9" s="23" t="n">
        <f aca="false">PLANTILLA_ETAPA_1!L9</f>
        <v>0</v>
      </c>
      <c r="D9" s="20" t="n">
        <v>0</v>
      </c>
      <c r="E9" s="22" t="n">
        <v>0</v>
      </c>
      <c r="F9" s="22" t="n">
        <v>0</v>
      </c>
      <c r="G9" s="22" t="n">
        <v>0</v>
      </c>
      <c r="H9" s="22" t="n">
        <v>0</v>
      </c>
      <c r="I9" s="22" t="n">
        <v>0</v>
      </c>
      <c r="J9" s="22" t="n">
        <v>0</v>
      </c>
      <c r="K9" s="22" t="n">
        <v>0</v>
      </c>
      <c r="L9" s="24" t="n">
        <f aca="false">SUM(D9:K9)</f>
        <v>0</v>
      </c>
      <c r="M9" s="22" t="n">
        <f aca="false">L9</f>
        <v>0</v>
      </c>
      <c r="N9" s="22" t="n">
        <v>0</v>
      </c>
      <c r="O9" s="22" t="n">
        <f aca="false">SUM(C9+N9)</f>
        <v>0</v>
      </c>
      <c r="P9" s="22" t="n">
        <f aca="false">IF((C9+N9)/2&lt;=1.5,1,IF(N9=1,1,ROUND((C9+N9)/2,0)))</f>
        <v>1</v>
      </c>
      <c r="Q9" s="22"/>
      <c r="R9" s="22"/>
    </row>
    <row r="10" customFormat="false" ht="15" hidden="false" customHeight="true" outlineLevel="0" collapsed="false">
      <c r="A10" s="25" t="n">
        <v>2</v>
      </c>
      <c r="B10" s="26" t="s">
        <v>64</v>
      </c>
      <c r="C10" s="26" t="n">
        <f aca="false">PLANTILLA_ETAPA_1!L10</f>
        <v>0</v>
      </c>
      <c r="D10" s="27" t="n">
        <v>0</v>
      </c>
      <c r="E10" s="25" t="n">
        <v>0</v>
      </c>
      <c r="F10" s="25" t="n">
        <v>0</v>
      </c>
      <c r="G10" s="25" t="n">
        <v>0</v>
      </c>
      <c r="H10" s="25" t="n">
        <v>0</v>
      </c>
      <c r="I10" s="25" t="n">
        <v>0</v>
      </c>
      <c r="J10" s="25" t="n">
        <v>0</v>
      </c>
      <c r="K10" s="25" t="n">
        <v>0</v>
      </c>
      <c r="L10" s="24" t="n">
        <f aca="false">SUM(D10:K10)</f>
        <v>0</v>
      </c>
      <c r="M10" s="25" t="n">
        <f aca="false">L10</f>
        <v>0</v>
      </c>
      <c r="N10" s="25" t="n">
        <v>0</v>
      </c>
      <c r="O10" s="25" t="n">
        <f aca="false">SUM(C10+N10)</f>
        <v>0</v>
      </c>
      <c r="P10" s="25" t="n">
        <f aca="false">IF((C10+N10)/2&lt;=1.5,1,IF(N10=1,1,ROUND((C10+N10)/2,0)))</f>
        <v>1</v>
      </c>
      <c r="Q10" s="25"/>
      <c r="R10" s="25"/>
    </row>
    <row r="11" customFormat="false" ht="15" hidden="false" customHeight="true" outlineLevel="0" collapsed="false">
      <c r="A11" s="22" t="n">
        <v>3</v>
      </c>
      <c r="B11" s="23" t="s">
        <v>64</v>
      </c>
      <c r="C11" s="23" t="n">
        <f aca="false">PLANTILLA_ETAPA_1!L11</f>
        <v>0</v>
      </c>
      <c r="D11" s="20" t="n">
        <v>0</v>
      </c>
      <c r="E11" s="22" t="n">
        <v>0</v>
      </c>
      <c r="F11" s="22" t="n">
        <v>0</v>
      </c>
      <c r="G11" s="22" t="n">
        <v>0</v>
      </c>
      <c r="H11" s="22" t="n">
        <v>0</v>
      </c>
      <c r="I11" s="22" t="n">
        <v>0</v>
      </c>
      <c r="J11" s="22" t="n">
        <v>0</v>
      </c>
      <c r="K11" s="22" t="n">
        <v>0</v>
      </c>
      <c r="L11" s="24" t="n">
        <f aca="false">SUM(D11:K11)</f>
        <v>0</v>
      </c>
      <c r="M11" s="22" t="n">
        <f aca="false">L11</f>
        <v>0</v>
      </c>
      <c r="N11" s="22" t="n">
        <v>0</v>
      </c>
      <c r="O11" s="22" t="n">
        <f aca="false">SUM(C11+N11)</f>
        <v>0</v>
      </c>
      <c r="P11" s="22" t="n">
        <f aca="false">IF((C11+N11)/2&lt;=1.5,1,IF(N11=1,1,ROUND((C11+N11)/2,0)))</f>
        <v>1</v>
      </c>
      <c r="Q11" s="22"/>
      <c r="R11" s="22"/>
    </row>
    <row r="12" customFormat="false" ht="15" hidden="false" customHeight="true" outlineLevel="0" collapsed="false">
      <c r="A12" s="25" t="n">
        <v>4</v>
      </c>
      <c r="B12" s="26" t="s">
        <v>64</v>
      </c>
      <c r="C12" s="26" t="n">
        <f aca="false">PLANTILLA_ETAPA_1!L12</f>
        <v>0</v>
      </c>
      <c r="D12" s="27" t="n">
        <v>0</v>
      </c>
      <c r="E12" s="25" t="n">
        <v>0</v>
      </c>
      <c r="F12" s="25" t="n">
        <v>0</v>
      </c>
      <c r="G12" s="25" t="n">
        <v>0</v>
      </c>
      <c r="H12" s="25" t="n">
        <v>0</v>
      </c>
      <c r="I12" s="25" t="n">
        <v>0</v>
      </c>
      <c r="J12" s="25" t="n">
        <v>0</v>
      </c>
      <c r="K12" s="25" t="n">
        <v>0</v>
      </c>
      <c r="L12" s="24" t="n">
        <f aca="false">SUM(D12:K12)</f>
        <v>0</v>
      </c>
      <c r="M12" s="25" t="n">
        <f aca="false">L12</f>
        <v>0</v>
      </c>
      <c r="N12" s="25" t="n">
        <v>0</v>
      </c>
      <c r="O12" s="25" t="n">
        <f aca="false">SUM(C12+N12)</f>
        <v>0</v>
      </c>
      <c r="P12" s="25" t="n">
        <f aca="false">IF((C12+N12)/2&lt;=1.5,1,IF(N12=1,1,ROUND((C12+N12)/2,0)))</f>
        <v>1</v>
      </c>
      <c r="Q12" s="25"/>
      <c r="R12" s="25"/>
    </row>
    <row r="13" customFormat="false" ht="15" hidden="false" customHeight="true" outlineLevel="0" collapsed="false">
      <c r="A13" s="22" t="n">
        <v>5</v>
      </c>
      <c r="B13" s="23" t="s">
        <v>64</v>
      </c>
      <c r="C13" s="23" t="n">
        <f aca="false">PLANTILLA_ETAPA_1!L13</f>
        <v>0</v>
      </c>
      <c r="D13" s="28" t="n">
        <v>0</v>
      </c>
      <c r="E13" s="34" t="n">
        <v>0</v>
      </c>
      <c r="F13" s="34" t="n">
        <v>0</v>
      </c>
      <c r="G13" s="34" t="n">
        <v>0</v>
      </c>
      <c r="H13" s="34" t="n">
        <v>0</v>
      </c>
      <c r="I13" s="34" t="n">
        <v>0</v>
      </c>
      <c r="J13" s="34" t="n">
        <v>0</v>
      </c>
      <c r="K13" s="34" t="n">
        <v>0</v>
      </c>
      <c r="L13" s="29" t="n">
        <f aca="false">SUM(D13:K13)</f>
        <v>0</v>
      </c>
      <c r="M13" s="22" t="n">
        <f aca="false">L13</f>
        <v>0</v>
      </c>
      <c r="N13" s="22" t="n">
        <v>0</v>
      </c>
      <c r="O13" s="22" t="n">
        <f aca="false">SUM(C13+N13)</f>
        <v>0</v>
      </c>
      <c r="P13" s="22" t="n">
        <f aca="false">IF((C13+N13)/2&lt;=1.5,1,IF(N13=1,1,ROUND((C13+N13)/2,0)))</f>
        <v>1</v>
      </c>
      <c r="Q13" s="22"/>
      <c r="R13" s="22"/>
    </row>
  </sheetData>
  <mergeCells count="19">
    <mergeCell ref="A1:N1"/>
    <mergeCell ref="A2:N2"/>
    <mergeCell ref="A3:N3"/>
    <mergeCell ref="A4:B4"/>
    <mergeCell ref="C4:N4"/>
    <mergeCell ref="A5:B5"/>
    <mergeCell ref="C5:H5"/>
    <mergeCell ref="I5:J5"/>
    <mergeCell ref="A6:A7"/>
    <mergeCell ref="B6:B7"/>
    <mergeCell ref="C6:C7"/>
    <mergeCell ref="D6:K6"/>
    <mergeCell ref="L6:L7"/>
    <mergeCell ref="M6:M7"/>
    <mergeCell ref="N6:N7"/>
    <mergeCell ref="O6:O7"/>
    <mergeCell ref="P6:P7"/>
    <mergeCell ref="Q6:Q7"/>
    <mergeCell ref="R6:R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2026-09-04T10:50:04Z</dcterms:created>
  <dc:creator>openpyxl</dc:creator>
  <dc:description/>
  <dc:language>en-US</dc:language>
  <cp:lastModifiedBy/>
  <dcterms:modified xsi:type="dcterms:W3CDTF">2026-09-04T20:11:33Z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